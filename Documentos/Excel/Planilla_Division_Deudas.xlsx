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go de Deudas" sheetId="1" r:id="rId1"/>
  </sheets>
  <calcPr calcId="124519" fullCalcOnLoad="1"/>
</workbook>
</file>

<file path=xl/sharedStrings.xml><?xml version="1.0" encoding="utf-8"?>
<sst xmlns="http://schemas.openxmlformats.org/spreadsheetml/2006/main" count="143" uniqueCount="24">
  <si>
    <t>Concepto</t>
  </si>
  <si>
    <t>Monto</t>
  </si>
  <si>
    <t>Total Adeudado</t>
  </si>
  <si>
    <t>Cantidad Pagada</t>
  </si>
  <si>
    <t>Falta Pagar</t>
  </si>
  <si>
    <t>Deuda Inicial</t>
  </si>
  <si>
    <t>Interés Anual (%)</t>
  </si>
  <si>
    <t>Cuota Mensual</t>
  </si>
  <si>
    <t>Interés Mensual</t>
  </si>
  <si>
    <t>Meses Restantes</t>
  </si>
  <si>
    <t>Mes</t>
  </si>
  <si>
    <t>Monto Pagado</t>
  </si>
  <si>
    <t>Mes 1</t>
  </si>
  <si>
    <t>Mes 2</t>
  </si>
  <si>
    <t>Mes 3</t>
  </si>
  <si>
    <t>Mes 4</t>
  </si>
  <si>
    <t>Mes 5</t>
  </si>
  <si>
    <t>Mes 6</t>
  </si>
  <si>
    <t>Mes 7</t>
  </si>
  <si>
    <t>Mes 8</t>
  </si>
  <si>
    <t>Mes 9</t>
  </si>
  <si>
    <t>Mes 10</t>
  </si>
  <si>
    <t>Mes 11</t>
  </si>
  <si>
    <t>Mes 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</si>
</sst>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f>SUM(B5,B15,B25,B35,B45,B55)</f>
        <v>0</v>
      </c>
    </row>
    <row r="3" spans="1:2">
      <c r="A3" t="s">
        <v>3</v>
      </c>
      <c r="B3">
        <f>SUM(F5,F15,F25,F35,F45,F55)</f>
        <v>0</v>
      </c>
    </row>
    <row r="4" spans="1:2">
      <c r="A4" t="s">
        <v>4</v>
      </c>
      <c r="B4">
        <f>A2 - A3</f>
        <v>0</v>
      </c>
    </row>
    <row r="5" spans="1:2">
      <c r="A5" s="1" t="s">
        <v>0</v>
      </c>
      <c r="B5" s="1" t="s">
        <v>1</v>
      </c>
    </row>
    <row r="6" spans="1:2">
      <c r="A6" t="s">
        <v>5</v>
      </c>
      <c r="B6">
        <v>2000</v>
      </c>
    </row>
    <row r="7" spans="1:2">
      <c r="A7" t="s">
        <v>6</v>
      </c>
      <c r="B7">
        <v>18</v>
      </c>
    </row>
    <row r="8" spans="1:2">
      <c r="A8" t="s">
        <v>7</v>
      </c>
      <c r="B8">
        <v>100</v>
      </c>
    </row>
    <row r="9" spans="1:2">
      <c r="A9" t="s">
        <v>3</v>
      </c>
      <c r="B9">
        <f>SUM(M18:M29)</f>
        <v>0</v>
      </c>
    </row>
    <row r="10" spans="1:2">
      <c r="A10" t="s">
        <v>8</v>
      </c>
      <c r="B10">
        <f>B * (C5 / 12 / 100)</f>
        <v>0</v>
      </c>
    </row>
    <row r="11" spans="1:2">
      <c r="A11" t="s">
        <v>9</v>
      </c>
      <c r="B11">
        <f>IF(G4 &gt; 0, ROUNDUP(B5/G4, 0), "")</f>
        <v>0</v>
      </c>
    </row>
    <row r="12" spans="1:2">
      <c r="A12" s="1" t="s">
        <v>10</v>
      </c>
      <c r="B12" s="1" t="s">
        <v>11</v>
      </c>
    </row>
    <row r="13" spans="1:2">
      <c r="A13" t="s">
        <v>12</v>
      </c>
    </row>
    <row r="14" spans="1:2">
      <c r="A14" t="s">
        <v>13</v>
      </c>
    </row>
    <row r="15" spans="1:2">
      <c r="A15" t="s">
        <v>14</v>
      </c>
    </row>
    <row r="16" spans="1:2">
      <c r="A16" t="s">
        <v>15</v>
      </c>
    </row>
    <row r="17" spans="1:2">
      <c r="A17" t="s">
        <v>16</v>
      </c>
    </row>
    <row r="18" spans="1:2">
      <c r="A18" t="s">
        <v>17</v>
      </c>
    </row>
    <row r="19" spans="1:2">
      <c r="A19" t="s">
        <v>18</v>
      </c>
    </row>
    <row r="20" spans="1:2">
      <c r="A20" t="s">
        <v>19</v>
      </c>
    </row>
    <row r="21" spans="1:2">
      <c r="A21" t="s">
        <v>20</v>
      </c>
    </row>
    <row r="22" spans="1:2">
      <c r="A22" t="s">
        <v>21</v>
      </c>
    </row>
    <row r="23" spans="1:2">
      <c r="A23" t="s">
        <v>22</v>
      </c>
    </row>
    <row r="24" spans="1:2">
      <c r="A24" t="s">
        <v>23</v>
      </c>
    </row>
    <row r="27" spans="1:2">
      <c r="A27" s="1" t="s">
        <v>0</v>
      </c>
      <c r="B27" s="1" t="s">
        <v>1</v>
      </c>
    </row>
    <row r="28" spans="1:2">
      <c r="A28" t="s">
        <v>5</v>
      </c>
      <c r="B28">
        <v>1500</v>
      </c>
    </row>
    <row r="29" spans="1:2">
      <c r="A29" t="s">
        <v>6</v>
      </c>
      <c r="B29">
        <v>15</v>
      </c>
    </row>
    <row r="30" spans="1:2">
      <c r="A30" t="s">
        <v>7</v>
      </c>
      <c r="B30">
        <v>90</v>
      </c>
    </row>
    <row r="31" spans="1:2">
      <c r="A31" t="s">
        <v>3</v>
      </c>
      <c r="B31">
        <f>SUM(M40:M51)</f>
        <v>0</v>
      </c>
    </row>
    <row r="32" spans="1:2">
      <c r="A32" t="s">
        <v>8</v>
      </c>
      <c r="B32">
        <f>X * (C27 / 12 / 100)</f>
        <v>0</v>
      </c>
    </row>
    <row r="33" spans="1:2">
      <c r="A33" t="s">
        <v>9</v>
      </c>
      <c r="B33">
        <f>IF(G26 &gt; 0, ROUNDUP(B27/G26, 0), "")</f>
        <v>0</v>
      </c>
    </row>
    <row r="34" spans="1:2">
      <c r="A34" s="1" t="s">
        <v>10</v>
      </c>
      <c r="B34" s="1" t="s">
        <v>11</v>
      </c>
    </row>
    <row r="35" spans="1:2">
      <c r="A35" t="s">
        <v>12</v>
      </c>
    </row>
    <row r="36" spans="1:2">
      <c r="A36" t="s">
        <v>13</v>
      </c>
    </row>
    <row r="37" spans="1:2">
      <c r="A37" t="s">
        <v>14</v>
      </c>
    </row>
    <row r="38" spans="1:2">
      <c r="A38" t="s">
        <v>15</v>
      </c>
    </row>
    <row r="39" spans="1:2">
      <c r="A39" t="s">
        <v>16</v>
      </c>
    </row>
    <row r="40" spans="1:2">
      <c r="A40" t="s">
        <v>17</v>
      </c>
    </row>
    <row r="41" spans="1:2">
      <c r="A41" t="s">
        <v>18</v>
      </c>
    </row>
    <row r="42" spans="1:2">
      <c r="A42" t="s">
        <v>19</v>
      </c>
    </row>
    <row r="43" spans="1:2">
      <c r="A43" t="s">
        <v>20</v>
      </c>
    </row>
    <row r="44" spans="1:2">
      <c r="A44" t="s">
        <v>21</v>
      </c>
    </row>
    <row r="45" spans="1:2">
      <c r="A45" t="s">
        <v>22</v>
      </c>
    </row>
    <row r="46" spans="1:2">
      <c r="A46" t="s">
        <v>23</v>
      </c>
    </row>
    <row r="49" spans="1:2">
      <c r="A49" s="1" t="s">
        <v>0</v>
      </c>
      <c r="B49" s="1" t="s">
        <v>1</v>
      </c>
    </row>
    <row r="50" spans="1:2">
      <c r="A50" t="s">
        <v>5</v>
      </c>
      <c r="B50">
        <v>3000</v>
      </c>
    </row>
    <row r="51" spans="1:2">
      <c r="A51" t="s">
        <v>6</v>
      </c>
      <c r="B51">
        <v>20</v>
      </c>
    </row>
    <row r="52" spans="1:2">
      <c r="A52" t="s">
        <v>7</v>
      </c>
      <c r="B52">
        <v>120</v>
      </c>
    </row>
    <row r="53" spans="1:2">
      <c r="A53" t="s">
        <v>3</v>
      </c>
      <c r="B53">
        <f>SUM(M62:M73)</f>
        <v>0</v>
      </c>
    </row>
    <row r="54" spans="1:2">
      <c r="A54" t="s">
        <v>8</v>
      </c>
      <c r="B54">
        <f>n * (C49 / 12 / 100)</f>
        <v>0</v>
      </c>
    </row>
    <row r="55" spans="1:2">
      <c r="A55" t="s">
        <v>9</v>
      </c>
      <c r="B55">
        <f>IF(G48 &gt; 0, ROUNDUP(B49/G48, 0), "")</f>
        <v>0</v>
      </c>
    </row>
    <row r="56" spans="1:2">
      <c r="A56" s="1" t="s">
        <v>10</v>
      </c>
      <c r="B56" s="1" t="s">
        <v>11</v>
      </c>
    </row>
    <row r="57" spans="1:2">
      <c r="A57" t="s">
        <v>12</v>
      </c>
    </row>
    <row r="58" spans="1:2">
      <c r="A58" t="s">
        <v>13</v>
      </c>
    </row>
    <row r="59" spans="1:2">
      <c r="A59" t="s">
        <v>14</v>
      </c>
    </row>
    <row r="60" spans="1:2">
      <c r="A60" t="s">
        <v>15</v>
      </c>
    </row>
    <row r="61" spans="1:2">
      <c r="A61" t="s">
        <v>16</v>
      </c>
    </row>
    <row r="62" spans="1:2">
      <c r="A62" t="s">
        <v>17</v>
      </c>
    </row>
    <row r="63" spans="1:2">
      <c r="A63" t="s">
        <v>18</v>
      </c>
    </row>
    <row r="64" spans="1:2">
      <c r="A64" t="s">
        <v>19</v>
      </c>
    </row>
    <row r="65" spans="1:2">
      <c r="A65" t="s">
        <v>20</v>
      </c>
    </row>
    <row r="66" spans="1:2">
      <c r="A66" t="s">
        <v>21</v>
      </c>
    </row>
    <row r="67" spans="1:2">
      <c r="A67" t="s">
        <v>22</v>
      </c>
    </row>
    <row r="68" spans="1:2">
      <c r="A68" t="s">
        <v>23</v>
      </c>
    </row>
    <row r="71" spans="1:2">
      <c r="A71" s="1" t="s">
        <v>0</v>
      </c>
      <c r="B71" s="1" t="s">
        <v>1</v>
      </c>
    </row>
    <row r="72" spans="1:2">
      <c r="A72" t="s">
        <v>5</v>
      </c>
      <c r="B72">
        <v>5000</v>
      </c>
    </row>
    <row r="73" spans="1:2">
      <c r="A73" t="s">
        <v>6</v>
      </c>
      <c r="B73">
        <v>10</v>
      </c>
    </row>
    <row r="74" spans="1:2">
      <c r="A74" t="s">
        <v>7</v>
      </c>
      <c r="B74">
        <v>200</v>
      </c>
    </row>
    <row r="75" spans="1:2">
      <c r="A75" t="s">
        <v>3</v>
      </c>
      <c r="B75">
        <f>SUM(M84:M95)</f>
        <v>0</v>
      </c>
    </row>
    <row r="76" spans="1:2">
      <c r="A76" t="s">
        <v>8</v>
      </c>
      <c r="B76">
        <f> * (C71 / 12 / 100)</f>
        <v>0</v>
      </c>
    </row>
    <row r="77" spans="1:2">
      <c r="A77" t="s">
        <v>9</v>
      </c>
      <c r="B77">
        <f>IF(G70 &gt; 0, ROUNDUP(B71/G70, 0), "")</f>
        <v>0</v>
      </c>
    </row>
    <row r="78" spans="1:2">
      <c r="A78" s="1" t="s">
        <v>10</v>
      </c>
      <c r="B78" s="1" t="s">
        <v>11</v>
      </c>
    </row>
    <row r="79" spans="1:2">
      <c r="A79" t="s">
        <v>12</v>
      </c>
    </row>
    <row r="80" spans="1:2">
      <c r="A80" t="s">
        <v>13</v>
      </c>
    </row>
    <row r="81" spans="1:2">
      <c r="A81" t="s">
        <v>14</v>
      </c>
    </row>
    <row r="82" spans="1:2">
      <c r="A82" t="s">
        <v>15</v>
      </c>
    </row>
    <row r="83" spans="1:2">
      <c r="A83" t="s">
        <v>16</v>
      </c>
    </row>
    <row r="84" spans="1:2">
      <c r="A84" t="s">
        <v>17</v>
      </c>
    </row>
    <row r="85" spans="1:2">
      <c r="A85" t="s">
        <v>18</v>
      </c>
    </row>
    <row r="86" spans="1:2">
      <c r="A86" t="s">
        <v>19</v>
      </c>
    </row>
    <row r="87" spans="1:2">
      <c r="A87" t="s">
        <v>20</v>
      </c>
    </row>
    <row r="88" spans="1:2">
      <c r="A88" t="s">
        <v>21</v>
      </c>
    </row>
    <row r="89" spans="1:2">
      <c r="A89" t="s">
        <v>22</v>
      </c>
    </row>
    <row r="90" spans="1:2">
      <c r="A90" t="s">
        <v>23</v>
      </c>
    </row>
    <row r="93" spans="1:2">
      <c r="A93" s="1" t="s">
        <v>0</v>
      </c>
      <c r="B93" s="1" t="s">
        <v>1</v>
      </c>
    </row>
    <row r="94" spans="1:2">
      <c r="A94" t="s">
        <v>5</v>
      </c>
      <c r="B94">
        <v>4000</v>
      </c>
    </row>
    <row r="95" spans="1:2">
      <c r="A95" t="s">
        <v>6</v>
      </c>
      <c r="B95">
        <v>12</v>
      </c>
    </row>
    <row r="96" spans="1:2">
      <c r="A96" t="s">
        <v>7</v>
      </c>
      <c r="B96">
        <v>150</v>
      </c>
    </row>
    <row r="97" spans="1:2">
      <c r="A97" t="s">
        <v>3</v>
      </c>
      <c r="B97">
        <f>SUM(M106:M117)</f>
        <v>0</v>
      </c>
    </row>
    <row r="98" spans="1:2">
      <c r="A98" t="s">
        <v>8</v>
      </c>
      <c r="B98">
        <f> * (C93 / 12 / 100)</f>
        <v>0</v>
      </c>
    </row>
    <row r="99" spans="1:2">
      <c r="A99" t="s">
        <v>9</v>
      </c>
      <c r="B99">
        <f>IF(G92 &gt; 0, ROUNDUP(B93/G92, 0), "")</f>
        <v>0</v>
      </c>
    </row>
    <row r="100" spans="1:2">
      <c r="A100" s="1" t="s">
        <v>10</v>
      </c>
      <c r="B100" s="1" t="s">
        <v>11</v>
      </c>
    </row>
    <row r="101" spans="1:2">
      <c r="A101" t="s">
        <v>12</v>
      </c>
    </row>
    <row r="102" spans="1:2">
      <c r="A102" t="s">
        <v>13</v>
      </c>
    </row>
    <row r="103" spans="1:2">
      <c r="A103" t="s">
        <v>14</v>
      </c>
    </row>
    <row r="104" spans="1:2">
      <c r="A104" t="s">
        <v>15</v>
      </c>
    </row>
    <row r="105" spans="1:2">
      <c r="A105" t="s">
        <v>16</v>
      </c>
    </row>
    <row r="106" spans="1:2">
      <c r="A106" t="s">
        <v>17</v>
      </c>
    </row>
    <row r="107" spans="1:2">
      <c r="A107" t="s">
        <v>18</v>
      </c>
    </row>
    <row r="108" spans="1:2">
      <c r="A108" t="s">
        <v>19</v>
      </c>
    </row>
    <row r="109" spans="1:2">
      <c r="A109" t="s">
        <v>20</v>
      </c>
    </row>
    <row r="110" spans="1:2">
      <c r="A110" t="s">
        <v>21</v>
      </c>
    </row>
    <row r="111" spans="1:2">
      <c r="A111" t="s">
        <v>22</v>
      </c>
    </row>
    <row r="112" spans="1:2">
      <c r="A112" t="s">
        <v>23</v>
      </c>
    </row>
    <row r="115" spans="1:2">
      <c r="A115" s="1" t="s">
        <v>0</v>
      </c>
      <c r="B115" s="1" t="s">
        <v>1</v>
      </c>
    </row>
    <row r="116" spans="1:2">
      <c r="A116" t="s">
        <v>5</v>
      </c>
      <c r="B116">
        <v>2500</v>
      </c>
    </row>
    <row r="117" spans="1:2">
      <c r="A117" t="s">
        <v>6</v>
      </c>
      <c r="B117">
        <v>8</v>
      </c>
    </row>
    <row r="118" spans="1:2">
      <c r="A118" t="s">
        <v>7</v>
      </c>
      <c r="B118">
        <v>100</v>
      </c>
    </row>
    <row r="119" spans="1:2">
      <c r="A119" t="s">
        <v>3</v>
      </c>
      <c r="B119">
        <f>SUM(M128:M139)</f>
        <v>0</v>
      </c>
    </row>
    <row r="120" spans="1:2">
      <c r="A120" t="s">
        <v>8</v>
      </c>
      <c r="B120">
        <f>° * (C115 / 12 / 100)</f>
        <v>0</v>
      </c>
    </row>
    <row r="121" spans="1:2">
      <c r="A121" t="s">
        <v>9</v>
      </c>
      <c r="B121">
        <f>IF(G114 &gt; 0, ROUNDUP(B115/G114, 0), "")</f>
        <v>0</v>
      </c>
    </row>
    <row r="122" spans="1:2">
      <c r="A122" s="1" t="s">
        <v>10</v>
      </c>
      <c r="B122" s="1" t="s">
        <v>11</v>
      </c>
    </row>
    <row r="123" spans="1:2">
      <c r="A123" t="s">
        <v>12</v>
      </c>
    </row>
    <row r="124" spans="1:2">
      <c r="A124" t="s">
        <v>13</v>
      </c>
    </row>
    <row r="125" spans="1:2">
      <c r="A125" t="s">
        <v>14</v>
      </c>
    </row>
    <row r="126" spans="1:2">
      <c r="A126" t="s">
        <v>15</v>
      </c>
    </row>
    <row r="127" spans="1:2">
      <c r="A127" t="s">
        <v>16</v>
      </c>
    </row>
    <row r="128" spans="1:2">
      <c r="A128" t="s">
        <v>17</v>
      </c>
    </row>
    <row r="129" spans="1:1">
      <c r="A129" t="s">
        <v>18</v>
      </c>
    </row>
    <row r="130" spans="1:1">
      <c r="A130" t="s">
        <v>19</v>
      </c>
    </row>
    <row r="131" spans="1:1">
      <c r="A131" t="s">
        <v>20</v>
      </c>
    </row>
    <row r="132" spans="1:1">
      <c r="A132" t="s">
        <v>21</v>
      </c>
    </row>
    <row r="133" spans="1:1">
      <c r="A133" t="s">
        <v>22</v>
      </c>
    </row>
    <row r="134" spans="1:1">
      <c r="A134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 de Deudas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2024-10-29T00:36:19Z</dcterms:created>
  <dcterms:modified xsi:type="dcterms:W3CDTF">2024-10-29T00:36:19Z</dcterms:modified>
</cp:coreProperties>
</file>