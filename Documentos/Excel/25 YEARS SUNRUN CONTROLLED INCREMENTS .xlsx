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b/P0t8AfjfQkhtbUujihGIckSC+QjhheyixtYtxLs="/>
    </ext>
  </extLst>
</workbook>
</file>

<file path=xl/sharedStrings.xml><?xml version="1.0" encoding="utf-8"?>
<sst xmlns="http://schemas.openxmlformats.org/spreadsheetml/2006/main" count="14" uniqueCount="14">
  <si>
    <r>
      <rPr>
        <rFont val="Calibri"/>
        <b/>
        <color rgb="FFFF9900"/>
        <sz val="22.0"/>
      </rPr>
      <t xml:space="preserve">   </t>
    </r>
    <r>
      <rPr>
        <rFont val="Calibri"/>
        <b/>
        <color rgb="FFFF9900"/>
        <sz val="22.0"/>
      </rPr>
      <t>25 YEARS</t>
    </r>
    <r>
      <rPr>
        <rFont val="Calibri"/>
        <b/>
        <color rgb="FFFF9900"/>
        <sz val="22.0"/>
      </rPr>
      <t xml:space="preserve"> SUNRUN </t>
    </r>
    <r>
      <rPr>
        <rFont val="Calibri"/>
        <b/>
        <color rgb="FFFF9900"/>
        <sz val="22.0"/>
      </rPr>
      <t>2.99%</t>
    </r>
    <r>
      <rPr>
        <rFont val="Calibri"/>
        <b/>
        <color rgb="FFFF9900"/>
        <sz val="22.0"/>
      </rPr>
      <t xml:space="preserve"> OR </t>
    </r>
    <r>
      <rPr>
        <rFont val="Calibri"/>
        <b/>
        <color rgb="FFFF9900"/>
        <sz val="22.0"/>
      </rPr>
      <t>1.99%</t>
    </r>
    <r>
      <rPr>
        <rFont val="Calibri"/>
        <b/>
        <color rgb="FFFF9900"/>
        <sz val="22.0"/>
      </rPr>
      <t xml:space="preserve"> CONTROLLED INCREMENTS</t>
    </r>
  </si>
  <si>
    <t>FIRST YEAR PAYMENT</t>
  </si>
  <si>
    <t>YEAR</t>
  </si>
  <si>
    <t>PAYMENT</t>
  </si>
  <si>
    <t xml:space="preserve">Controlled increments </t>
  </si>
  <si>
    <t>↓ CHOOSE ONE ↓</t>
  </si>
  <si>
    <t>Year 1 Payment</t>
  </si>
  <si>
    <t>Year 25 Payment</t>
  </si>
  <si>
    <t>FIXED PAYMENT OPTION</t>
  </si>
  <si>
    <t>Total increments over 25 years</t>
  </si>
  <si>
    <t>Average increments per year</t>
  </si>
  <si>
    <t>TOTAL AFTER 25 YEARS W/INCREMENTS</t>
  </si>
  <si>
    <t>TOTAL AFTER 25 YEARS FIXED</t>
  </si>
  <si>
    <t xml:space="preserve">         TOTAL SAVINGS FIXED VS INCREMENTS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</si>
</sst>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9900"/>
      <name val="Calibri"/>
    </font>
    <font>
      <u/>
      <sz val="11.0"/>
      <color theme="1"/>
      <name val="Calibri"/>
    </font>
    <font>
      <b/>
      <sz val="22.0"/>
      <color theme="1"/>
      <name val="Calibri"/>
    </font>
    <font>
      <u/>
      <sz val="11.0"/>
      <color rgb="FFFF9900"/>
      <name val="Calibri"/>
    </font>
    <font>
      <sz val="8.0"/>
      <color theme="1"/>
      <name val="Calibri"/>
    </font>
    <font>
      <b/>
      <sz val="11.0"/>
      <color theme="1"/>
      <name val="Calibri"/>
    </font>
    <font/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Border="1" applyFont="1"/>
    <xf borderId="4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5" fillId="0" fontId="1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/>
    </xf>
    <xf borderId="0" fillId="0" fontId="1" numFmtId="10" xfId="0" applyFont="1" applyNumberFormat="1"/>
    <xf borderId="4" fillId="0" fontId="1" numFmtId="0" xfId="0" applyBorder="1" applyFont="1"/>
    <xf borderId="6" fillId="0" fontId="7" numFmtId="0" xfId="0" applyAlignment="1" applyBorder="1" applyFont="1">
      <alignment horizontal="center"/>
    </xf>
    <xf borderId="7" fillId="0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7" fillId="0" fontId="1" numFmtId="164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/>
    </xf>
    <xf borderId="8" fillId="0" fontId="1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8" numFmtId="0" xfId="0" applyBorder="1" applyFont="1"/>
    <xf borderId="13" fillId="0" fontId="1" numFmtId="164" xfId="0" applyBorder="1" applyFont="1" applyNumberFormat="1"/>
    <xf borderId="6" fillId="2" fontId="1" numFmtId="10" xfId="0" applyAlignment="1" applyBorder="1" applyFill="1" applyFont="1" applyNumberFormat="1">
      <alignment readingOrder="0"/>
    </xf>
    <xf borderId="6" fillId="0" fontId="1" numFmtId="0" xfId="0" applyBorder="1" applyFont="1"/>
    <xf borderId="6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right"/>
    </xf>
    <xf borderId="11" fillId="0" fontId="9" numFmtId="0" xfId="0" applyAlignment="1" applyBorder="1" applyFont="1">
      <alignment horizontal="center"/>
    </xf>
    <xf borderId="13" fillId="0" fontId="8" numFmtId="0" xfId="0" applyBorder="1" applyFont="1"/>
    <xf borderId="6" fillId="0" fontId="1" numFmtId="164" xfId="0" applyBorder="1" applyFont="1" applyNumberFormat="1"/>
    <xf borderId="11" fillId="0" fontId="1" numFmtId="0" xfId="0" applyAlignment="1" applyBorder="1" applyFont="1">
      <alignment horizontal="center" shrinkToFit="0" wrapText="1"/>
    </xf>
    <xf borderId="10" fillId="0" fontId="1" numFmtId="164" xfId="0" applyBorder="1" applyFont="1" applyNumberFormat="1"/>
    <xf borderId="11" fillId="0" fontId="1" numFmtId="0" xfId="0" applyAlignment="1" applyBorder="1" applyFont="1">
      <alignment horizontal="left"/>
    </xf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5" fillId="0" fontId="1" numFmtId="0" xfId="0" applyAlignment="1" applyBorder="1" applyFont="1">
      <alignment horizontal="center"/>
    </xf>
    <xf borderId="1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16</xdr:row>
      <xdr:rowOff>123825</xdr:rowOff>
    </xdr:from>
    <xdr:ext cx="25717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20.14"/>
    <col customWidth="1" min="4" max="4" width="15.14"/>
    <col customWidth="1" min="5" max="5" width="8.86"/>
    <col customWidth="1" min="6" max="6" width="16.86"/>
    <col customWidth="1" min="7" max="7" width="6.57"/>
    <col customWidth="1" min="8" max="8" width="15.0"/>
    <col customWidth="1" min="9" max="9" width="12.14"/>
    <col customWidth="1" min="10" max="10" width="11.43"/>
    <col customWidth="1" min="11" max="11" width="8.71"/>
    <col customWidth="1" hidden="1" min="12" max="12" width="8.86"/>
    <col customWidth="1" hidden="1" min="13" max="13" width="8.71"/>
    <col customWidth="1" hidden="1" min="14" max="14" width="13.14"/>
    <col customWidth="1" min="15" max="15" width="8.86"/>
    <col customWidth="1" min="16" max="26" width="8.71"/>
  </cols>
  <sheetData>
    <row r="1" ht="14.2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"/>
      <c r="C2" s="5"/>
      <c r="D2" s="6"/>
      <c r="E2" s="5"/>
      <c r="F2" s="5"/>
      <c r="G2" s="5"/>
      <c r="H2" s="5"/>
      <c r="I2" s="5"/>
      <c r="J2" s="5"/>
      <c r="K2" s="7"/>
      <c r="L2" s="1"/>
      <c r="M2" s="1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 t="s">
        <v>0</v>
      </c>
      <c r="C3" s="9"/>
      <c r="D3" s="10"/>
      <c r="E3" s="11"/>
      <c r="F3" s="1"/>
      <c r="G3" s="1"/>
      <c r="H3" s="1"/>
      <c r="I3" s="1"/>
      <c r="J3" s="1"/>
      <c r="K3" s="12"/>
      <c r="L3" s="1"/>
      <c r="M3" s="1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3"/>
      <c r="C4" s="1"/>
      <c r="D4" s="2"/>
      <c r="E4" s="1"/>
      <c r="F4" s="1"/>
      <c r="G4" s="1"/>
      <c r="H4" s="1"/>
      <c r="I4" s="1"/>
      <c r="J4" s="1"/>
      <c r="K4" s="12"/>
      <c r="L4" s="14"/>
      <c r="M4" s="1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4"/>
      <c r="C5" s="5"/>
      <c r="D5" s="6"/>
      <c r="E5" s="5"/>
      <c r="F5" s="5"/>
      <c r="G5" s="5"/>
      <c r="H5" s="5"/>
      <c r="I5" s="5"/>
      <c r="J5" s="5"/>
      <c r="K5" s="7"/>
      <c r="L5" s="15">
        <v>1.0299</v>
      </c>
      <c r="M5" s="1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/>
      <c r="C6" s="17" t="s">
        <v>1</v>
      </c>
      <c r="D6" s="2"/>
      <c r="E6" s="17" t="s">
        <v>2</v>
      </c>
      <c r="F6" s="17" t="s">
        <v>3</v>
      </c>
      <c r="G6" s="1"/>
      <c r="H6" s="1"/>
      <c r="I6" s="1"/>
      <c r="J6" s="1"/>
      <c r="K6" s="12"/>
      <c r="L6" s="15">
        <v>1.0199</v>
      </c>
      <c r="M6" s="1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6"/>
      <c r="C7" s="18"/>
      <c r="D7" s="2"/>
      <c r="E7" s="19">
        <v>1.0</v>
      </c>
      <c r="F7" s="20">
        <v>159.0</v>
      </c>
      <c r="G7" s="1"/>
      <c r="H7" s="1"/>
      <c r="I7" s="1"/>
      <c r="J7" s="1"/>
      <c r="K7" s="12"/>
      <c r="L7" s="1"/>
      <c r="M7" s="1"/>
      <c r="N7" s="3">
        <f t="shared" ref="N7:N31" si="1">F7*12</f>
        <v>1908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6"/>
      <c r="C8" s="1"/>
      <c r="D8" s="2"/>
      <c r="E8" s="21">
        <v>2.0</v>
      </c>
      <c r="F8" s="22">
        <f>(F7*C11)</f>
        <v>163.7541</v>
      </c>
      <c r="G8" s="1"/>
      <c r="H8" s="1"/>
      <c r="I8" s="1"/>
      <c r="J8" s="1"/>
      <c r="K8" s="12"/>
      <c r="L8" s="1"/>
      <c r="M8" s="1"/>
      <c r="N8" s="3">
        <f t="shared" si="1"/>
        <v>1965.0492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6"/>
      <c r="C9" s="23" t="s">
        <v>4</v>
      </c>
      <c r="D9" s="2"/>
      <c r="E9" s="21">
        <v>3.0</v>
      </c>
      <c r="F9" s="22">
        <f>(F8*C11)</f>
        <v>168.6503476</v>
      </c>
      <c r="G9" s="1"/>
      <c r="H9" s="1"/>
      <c r="I9" s="1"/>
      <c r="J9" s="1"/>
      <c r="K9" s="12"/>
      <c r="L9" s="1"/>
      <c r="M9" s="1"/>
      <c r="N9" s="3">
        <f t="shared" si="1"/>
        <v>2023.804171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6"/>
      <c r="C10" s="24" t="s">
        <v>5</v>
      </c>
      <c r="D10" s="2"/>
      <c r="E10" s="21">
        <v>4.0</v>
      </c>
      <c r="F10" s="22">
        <f>(F9*C11)</f>
        <v>173.692993</v>
      </c>
      <c r="G10" s="1"/>
      <c r="H10" s="25" t="s">
        <v>6</v>
      </c>
      <c r="I10" s="26"/>
      <c r="J10" s="27" t="str">
        <f>(C7)</f>
        <v/>
      </c>
      <c r="K10" s="12"/>
      <c r="L10" s="1"/>
      <c r="M10" s="1"/>
      <c r="N10" s="3">
        <f t="shared" si="1"/>
        <v>2084.315916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6"/>
      <c r="C11" s="28">
        <v>1.0299</v>
      </c>
      <c r="D11" s="2"/>
      <c r="E11" s="21">
        <v>5.0</v>
      </c>
      <c r="F11" s="22">
        <f>(F10*C11)</f>
        <v>178.8864135</v>
      </c>
      <c r="G11" s="1"/>
      <c r="H11" s="1"/>
      <c r="I11" s="1"/>
      <c r="J11" s="1"/>
      <c r="K11" s="12"/>
      <c r="L11" s="1"/>
      <c r="M11" s="1"/>
      <c r="N11" s="3">
        <f t="shared" si="1"/>
        <v>2146.636962</v>
      </c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6"/>
      <c r="C12" s="1"/>
      <c r="D12" s="2"/>
      <c r="E12" s="21">
        <v>6.0</v>
      </c>
      <c r="F12" s="22">
        <f>(F11*C11)</f>
        <v>184.2351172</v>
      </c>
      <c r="G12" s="1"/>
      <c r="H12" s="25" t="s">
        <v>7</v>
      </c>
      <c r="I12" s="26"/>
      <c r="J12" s="27">
        <f>(F31)</f>
        <v>322.4619826</v>
      </c>
      <c r="K12" s="12"/>
      <c r="L12" s="1"/>
      <c r="M12" s="1"/>
      <c r="N12" s="3">
        <f t="shared" si="1"/>
        <v>2210.821407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6"/>
      <c r="C13" s="29" t="s">
        <v>8</v>
      </c>
      <c r="D13" s="2"/>
      <c r="E13" s="21">
        <v>7.0</v>
      </c>
      <c r="F13" s="22">
        <f>(F12*C11)</f>
        <v>189.7437472</v>
      </c>
      <c r="G13" s="1"/>
      <c r="H13" s="1"/>
      <c r="I13" s="1"/>
      <c r="J13" s="1"/>
      <c r="K13" s="12"/>
      <c r="L13" s="1"/>
      <c r="M13" s="1"/>
      <c r="N13" s="3">
        <f t="shared" si="1"/>
        <v>2276.924967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6"/>
      <c r="C14" s="30"/>
      <c r="D14" s="2"/>
      <c r="E14" s="21">
        <v>8.0</v>
      </c>
      <c r="F14" s="22">
        <f>(F13*C11)</f>
        <v>195.4170853</v>
      </c>
      <c r="G14" s="1"/>
      <c r="H14" s="25" t="s">
        <v>9</v>
      </c>
      <c r="I14" s="26"/>
      <c r="J14" s="27">
        <f>(J12-J10)</f>
        <v>322.4619826</v>
      </c>
      <c r="K14" s="12"/>
      <c r="L14" s="1"/>
      <c r="M14" s="1"/>
      <c r="N14" s="3">
        <f t="shared" si="1"/>
        <v>2345.005023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6"/>
      <c r="C15" s="1"/>
      <c r="D15" s="2"/>
      <c r="E15" s="21">
        <v>9.0</v>
      </c>
      <c r="F15" s="22">
        <f>(F14*C11)</f>
        <v>201.2600561</v>
      </c>
      <c r="G15" s="1"/>
      <c r="H15" s="2"/>
      <c r="J15" s="1"/>
      <c r="K15" s="12"/>
      <c r="L15" s="1"/>
      <c r="M15" s="1"/>
      <c r="N15" s="3">
        <f t="shared" si="1"/>
        <v>2415.120674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6"/>
      <c r="C16" s="1"/>
      <c r="D16" s="2"/>
      <c r="E16" s="21">
        <v>10.0</v>
      </c>
      <c r="F16" s="22">
        <f>(F15*C11)</f>
        <v>207.2777318</v>
      </c>
      <c r="G16" s="1"/>
      <c r="H16" s="1"/>
      <c r="I16" s="1"/>
      <c r="J16" s="1"/>
      <c r="K16" s="12"/>
      <c r="L16" s="1"/>
      <c r="M16" s="1"/>
      <c r="N16" s="3">
        <f t="shared" si="1"/>
        <v>2487.332782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6"/>
      <c r="C17" s="1"/>
      <c r="D17" s="2"/>
      <c r="E17" s="21">
        <v>11.0</v>
      </c>
      <c r="F17" s="22">
        <f>(F16*C11)</f>
        <v>213.475336</v>
      </c>
      <c r="G17" s="1"/>
      <c r="H17" s="25" t="s">
        <v>10</v>
      </c>
      <c r="I17" s="26"/>
      <c r="J17" s="27">
        <f>(J14/25)</f>
        <v>12.8984793</v>
      </c>
      <c r="K17" s="12"/>
      <c r="L17" s="1"/>
      <c r="M17" s="1"/>
      <c r="N17" s="3">
        <f t="shared" si="1"/>
        <v>2561.704032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6"/>
      <c r="C18" s="1"/>
      <c r="D18" s="2"/>
      <c r="E18" s="21">
        <v>12.0</v>
      </c>
      <c r="F18" s="22">
        <f>(F17*C11)</f>
        <v>219.8582485</v>
      </c>
      <c r="G18" s="1"/>
      <c r="H18" s="1"/>
      <c r="I18" s="31"/>
      <c r="J18" s="1"/>
      <c r="K18" s="12"/>
      <c r="L18" s="1"/>
      <c r="M18" s="1"/>
      <c r="N18" s="3">
        <f t="shared" si="1"/>
        <v>2638.298982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6"/>
      <c r="C19" s="1"/>
      <c r="D19" s="2"/>
      <c r="E19" s="21">
        <v>13.0</v>
      </c>
      <c r="F19" s="22">
        <f>(F18*C11)</f>
        <v>226.4320102</v>
      </c>
      <c r="G19" s="1"/>
      <c r="H19" s="1"/>
      <c r="I19" s="1"/>
      <c r="J19" s="1"/>
      <c r="K19" s="12"/>
      <c r="L19" s="1"/>
      <c r="M19" s="1"/>
      <c r="N19" s="3">
        <f t="shared" si="1"/>
        <v>2717.184122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6"/>
      <c r="C20" s="1"/>
      <c r="D20" s="2"/>
      <c r="E20" s="21">
        <v>14.0</v>
      </c>
      <c r="F20" s="22">
        <f>(F19*C11)</f>
        <v>233.2023273</v>
      </c>
      <c r="G20" s="1"/>
      <c r="H20" s="32" t="s">
        <v>11</v>
      </c>
      <c r="I20" s="26"/>
      <c r="J20" s="33"/>
      <c r="K20" s="12"/>
      <c r="L20" s="1"/>
      <c r="M20" s="1"/>
      <c r="N20" s="3">
        <f t="shared" si="1"/>
        <v>2798.427927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6"/>
      <c r="C21" s="1"/>
      <c r="D21" s="2"/>
      <c r="E21" s="21">
        <v>15.0</v>
      </c>
      <c r="F21" s="22">
        <f>(F20*C11)</f>
        <v>240.1750769</v>
      </c>
      <c r="G21" s="1"/>
      <c r="H21" s="1"/>
      <c r="I21" s="34">
        <f>SUM(N7:N31)</f>
        <v>69473.01506</v>
      </c>
      <c r="J21" s="1"/>
      <c r="K21" s="12"/>
      <c r="L21" s="1"/>
      <c r="M21" s="1"/>
      <c r="N21" s="3">
        <f t="shared" si="1"/>
        <v>2882.100922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6"/>
      <c r="C22" s="1"/>
      <c r="D22" s="2"/>
      <c r="E22" s="21">
        <v>16.0</v>
      </c>
      <c r="F22" s="22">
        <f>(F21*C11)</f>
        <v>247.3563117</v>
      </c>
      <c r="G22" s="1"/>
      <c r="H22" s="1"/>
      <c r="I22" s="1"/>
      <c r="J22" s="1"/>
      <c r="K22" s="12"/>
      <c r="L22" s="1"/>
      <c r="M22" s="1"/>
      <c r="N22" s="3">
        <f t="shared" si="1"/>
        <v>2968.27574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6"/>
      <c r="C23" s="1"/>
      <c r="D23" s="2"/>
      <c r="E23" s="21">
        <v>17.0</v>
      </c>
      <c r="F23" s="22">
        <f>(F22*C11)</f>
        <v>254.7522654</v>
      </c>
      <c r="G23" s="1"/>
      <c r="H23" s="1"/>
      <c r="I23" s="1"/>
      <c r="J23" s="1"/>
      <c r="K23" s="12"/>
      <c r="L23" s="1"/>
      <c r="M23" s="1"/>
      <c r="N23" s="3">
        <f t="shared" si="1"/>
        <v>3057.027185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6"/>
      <c r="C24" s="1"/>
      <c r="D24" s="2"/>
      <c r="E24" s="21">
        <v>18.0</v>
      </c>
      <c r="F24" s="22">
        <f>(F23*C11)</f>
        <v>262.3693581</v>
      </c>
      <c r="G24" s="1"/>
      <c r="H24" s="35" t="s">
        <v>12</v>
      </c>
      <c r="I24" s="26"/>
      <c r="J24" s="33"/>
      <c r="K24" s="12"/>
      <c r="L24" s="1"/>
      <c r="M24" s="1"/>
      <c r="N24" s="3">
        <f t="shared" si="1"/>
        <v>3148.432297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6"/>
      <c r="C25" s="1"/>
      <c r="D25" s="2"/>
      <c r="E25" s="21">
        <v>19.0</v>
      </c>
      <c r="F25" s="22">
        <f>(F24*C11)</f>
        <v>270.2142019</v>
      </c>
      <c r="G25" s="1"/>
      <c r="H25" s="1"/>
      <c r="I25" s="36">
        <f>C14*300</f>
        <v>0</v>
      </c>
      <c r="J25" s="1"/>
      <c r="K25" s="12"/>
      <c r="L25" s="1"/>
      <c r="M25" s="1"/>
      <c r="N25" s="3">
        <f t="shared" si="1"/>
        <v>3242.570423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6"/>
      <c r="C26" s="1"/>
      <c r="D26" s="2"/>
      <c r="E26" s="21">
        <v>20.0</v>
      </c>
      <c r="F26" s="22">
        <f>(F25*C11)</f>
        <v>278.2936066</v>
      </c>
      <c r="G26" s="1"/>
      <c r="H26" s="1"/>
      <c r="I26" s="1"/>
      <c r="J26" s="1"/>
      <c r="K26" s="12"/>
      <c r="L26" s="1"/>
      <c r="M26" s="1"/>
      <c r="N26" s="3">
        <f t="shared" si="1"/>
        <v>3339.523279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6"/>
      <c r="C27" s="1"/>
      <c r="D27" s="2"/>
      <c r="E27" s="21">
        <v>21.0</v>
      </c>
      <c r="F27" s="22">
        <f>(F26*C11)</f>
        <v>286.6145854</v>
      </c>
      <c r="G27" s="1"/>
      <c r="H27" s="37" t="s">
        <v>13</v>
      </c>
      <c r="I27" s="38"/>
      <c r="J27" s="39"/>
      <c r="K27" s="12"/>
      <c r="L27" s="1"/>
      <c r="M27" s="1"/>
      <c r="N27" s="3">
        <f t="shared" si="1"/>
        <v>3439.375025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6"/>
      <c r="C28" s="1"/>
      <c r="D28" s="2"/>
      <c r="E28" s="21">
        <v>22.0</v>
      </c>
      <c r="F28" s="22">
        <f>(F27*C11)</f>
        <v>295.1843615</v>
      </c>
      <c r="G28" s="1"/>
      <c r="H28" s="1"/>
      <c r="I28" s="34">
        <f>I21-I25</f>
        <v>69473.01506</v>
      </c>
      <c r="J28" s="1"/>
      <c r="K28" s="12"/>
      <c r="L28" s="1"/>
      <c r="M28" s="1"/>
      <c r="N28" s="3">
        <f t="shared" si="1"/>
        <v>3542.212338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6"/>
      <c r="C29" s="1"/>
      <c r="D29" s="2"/>
      <c r="E29" s="21">
        <v>23.0</v>
      </c>
      <c r="F29" s="22">
        <f>(F28*C11)</f>
        <v>304.0103739</v>
      </c>
      <c r="G29" s="1"/>
      <c r="H29" s="1"/>
      <c r="I29" s="1"/>
      <c r="J29" s="1"/>
      <c r="K29" s="12"/>
      <c r="L29" s="1"/>
      <c r="M29" s="1"/>
      <c r="N29" s="3">
        <f t="shared" si="1"/>
        <v>3648.124487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6"/>
      <c r="C30" s="1"/>
      <c r="D30" s="2"/>
      <c r="E30" s="21">
        <v>24.0</v>
      </c>
      <c r="F30" s="22">
        <f>(F29*C11)</f>
        <v>313.1002841</v>
      </c>
      <c r="G30" s="1"/>
      <c r="H30" s="1"/>
      <c r="I30" s="1"/>
      <c r="J30" s="1"/>
      <c r="K30" s="12"/>
      <c r="L30" s="1"/>
      <c r="M30" s="1"/>
      <c r="N30" s="3">
        <f t="shared" si="1"/>
        <v>3757.203409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6"/>
      <c r="C31" s="1"/>
      <c r="D31" s="2"/>
      <c r="E31" s="21">
        <v>25.0</v>
      </c>
      <c r="F31" s="22">
        <f>(F30*C11)</f>
        <v>322.4619826</v>
      </c>
      <c r="G31" s="1"/>
      <c r="H31" s="1"/>
      <c r="I31" s="1"/>
      <c r="J31" s="1"/>
      <c r="K31" s="12"/>
      <c r="L31" s="1"/>
      <c r="M31" s="1"/>
      <c r="N31" s="3">
        <f t="shared" si="1"/>
        <v>3869.543791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40"/>
      <c r="C32" s="41"/>
      <c r="D32" s="42"/>
      <c r="E32" s="41"/>
      <c r="F32" s="41"/>
      <c r="G32" s="41"/>
      <c r="H32" s="41"/>
      <c r="I32" s="41"/>
      <c r="J32" s="41"/>
      <c r="K32" s="43"/>
      <c r="L32" s="1"/>
      <c r="M32" s="1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3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3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H10:I10"/>
    <mergeCell ref="H12:I12"/>
    <mergeCell ref="H14:I14"/>
    <mergeCell ref="H15:I15"/>
    <mergeCell ref="H17:I17"/>
    <mergeCell ref="H20:J20"/>
    <mergeCell ref="H24:J24"/>
  </mergeCells>
  <dataValidations>
    <dataValidation type="list" allowBlank="1" showErrorMessage="1" sqref="C11">
      <formula1>$L$4:$L$6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2023-08-13T20:23:33Z</dcterms:created>
  <dc:creator>raul morales</dc:creator>
</cp:coreProperties>
</file>