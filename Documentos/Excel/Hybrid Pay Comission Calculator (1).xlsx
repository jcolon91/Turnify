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b820f3bd1c04d4/Documents/Pagina Web Pay Plan Hybrid Home Power/"/>
    </mc:Choice>
  </mc:AlternateContent>
  <xr:revisionPtr revIDLastSave="0" documentId="8_{A32B5AF9-6315-43ED-A465-8175A0216BA0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Com. 1 Tesla Plus" sheetId="5" r:id="rId1"/>
    <sheet name="Com. 2 Tesla Plus" sheetId="4" r:id="rId2"/>
    <sheet name="Com. 3 Tesla Plus" sheetId="7" r:id="rId3"/>
    <sheet name="Com. 1 Tesla con Micro" sheetId="1" r:id="rId4"/>
    <sheet name="Com. 2 Tesla con Micro " sheetId="3" r:id="rId5"/>
    <sheet name="Com. 3 Tesla con Micro" sheetId="6" r:id="rId6"/>
    <sheet name="Com. 4 Tesla con Micro " sheetId="8" r:id="rId7"/>
  </sheets>
  <calcPr calcId="191028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6" l="1"/>
  <c r="D10" i="5"/>
  <c r="D7" i="5"/>
  <c r="D10" i="3"/>
  <c r="D10" i="6"/>
  <c r="D10" i="8"/>
  <c r="D7" i="8"/>
  <c r="D7" i="7"/>
  <c r="D10" i="7" s="1"/>
  <c r="D7" i="6"/>
  <c r="D7" i="4"/>
  <c r="D10" i="4" s="1"/>
  <c r="D7" i="3"/>
  <c r="F12" i="8" l="1"/>
  <c r="F13" i="8" s="1"/>
  <c r="F14" i="8" s="1"/>
  <c r="F15" i="8" s="1"/>
  <c r="F16" i="8" s="1"/>
  <c r="F12" i="7"/>
  <c r="F13" i="7" s="1"/>
  <c r="F14" i="7" s="1"/>
  <c r="F15" i="7" s="1"/>
  <c r="F16" i="7" s="1"/>
  <c r="F12" i="6"/>
  <c r="F13" i="6" s="1"/>
  <c r="F14" i="6" s="1"/>
  <c r="F15" i="6" s="1"/>
  <c r="F16" i="6" s="1"/>
  <c r="E12" i="6"/>
  <c r="E13" i="6"/>
  <c r="F12" i="5"/>
  <c r="F13" i="5" s="1"/>
  <c r="F14" i="5" s="1"/>
  <c r="F15" i="5" s="1"/>
  <c r="F16" i="5" s="1"/>
  <c r="E12" i="5"/>
  <c r="F12" i="4"/>
  <c r="F13" i="4" s="1"/>
  <c r="F14" i="4" s="1"/>
  <c r="F15" i="4" s="1"/>
  <c r="F16" i="4" s="1"/>
  <c r="E12" i="4"/>
  <c r="E14" i="4"/>
  <c r="E15" i="4"/>
  <c r="E13" i="4"/>
  <c r="E12" i="3"/>
  <c r="F12" i="3"/>
  <c r="F13" i="3" s="1"/>
  <c r="F14" i="3" s="1"/>
  <c r="F15" i="3" s="1"/>
  <c r="F16" i="3" s="1"/>
  <c r="E15" i="3"/>
  <c r="E13" i="3"/>
  <c r="E16" i="3"/>
  <c r="H15" i="4" l="1"/>
  <c r="I15" i="4" s="1"/>
  <c r="H13" i="4"/>
  <c r="I13" i="4" s="1"/>
  <c r="H12" i="5"/>
  <c r="I12" i="5" s="1"/>
  <c r="E13" i="5"/>
  <c r="H13" i="5" s="1"/>
  <c r="I13" i="5" s="1"/>
  <c r="E14" i="5"/>
  <c r="H14" i="5" s="1"/>
  <c r="I14" i="5" s="1"/>
  <c r="E16" i="5"/>
  <c r="H16" i="5" s="1"/>
  <c r="I16" i="5" s="1"/>
  <c r="E14" i="8"/>
  <c r="H14" i="8" s="1"/>
  <c r="I14" i="8" s="1"/>
  <c r="E12" i="8"/>
  <c r="H12" i="8" s="1"/>
  <c r="I12" i="8" s="1"/>
  <c r="E16" i="8"/>
  <c r="H16" i="8" s="1"/>
  <c r="I16" i="8" s="1"/>
  <c r="E13" i="8"/>
  <c r="H13" i="8" s="1"/>
  <c r="I13" i="8" s="1"/>
  <c r="E15" i="8"/>
  <c r="H15" i="8" s="1"/>
  <c r="I15" i="8" s="1"/>
  <c r="H13" i="6"/>
  <c r="I13" i="6" s="1"/>
  <c r="H15" i="6"/>
  <c r="I15" i="6" s="1"/>
  <c r="H12" i="6"/>
  <c r="I12" i="6" s="1"/>
  <c r="E13" i="7"/>
  <c r="H13" i="7" s="1"/>
  <c r="I13" i="7" s="1"/>
  <c r="E12" i="7"/>
  <c r="H12" i="7" s="1"/>
  <c r="I12" i="7" s="1"/>
  <c r="E16" i="7"/>
  <c r="H16" i="7" s="1"/>
  <c r="I16" i="7" s="1"/>
  <c r="E15" i="7"/>
  <c r="H15" i="7" s="1"/>
  <c r="I15" i="7" s="1"/>
  <c r="E14" i="7"/>
  <c r="H14" i="7" s="1"/>
  <c r="I14" i="7" s="1"/>
  <c r="E14" i="6"/>
  <c r="H14" i="6" s="1"/>
  <c r="I14" i="6" s="1"/>
  <c r="E16" i="6"/>
  <c r="H16" i="6" s="1"/>
  <c r="I16" i="6" s="1"/>
  <c r="H12" i="4"/>
  <c r="I12" i="4" s="1"/>
  <c r="H14" i="4"/>
  <c r="I14" i="4" s="1"/>
  <c r="E15" i="5"/>
  <c r="H15" i="5" s="1"/>
  <c r="I15" i="5" s="1"/>
  <c r="E16" i="4"/>
  <c r="H16" i="4" s="1"/>
  <c r="I16" i="4" s="1"/>
  <c r="H12" i="3"/>
  <c r="I12" i="3" s="1"/>
  <c r="H16" i="3"/>
  <c r="I16" i="3" s="1"/>
  <c r="H15" i="3"/>
  <c r="I15" i="3" s="1"/>
  <c r="H13" i="3"/>
  <c r="I13" i="3" s="1"/>
  <c r="E14" i="3"/>
  <c r="H14" i="3" s="1"/>
  <c r="I14" i="3" s="1"/>
  <c r="D7" i="1" l="1"/>
  <c r="D10" i="1" l="1"/>
  <c r="E12" i="1" s="1"/>
  <c r="F12" i="1" l="1"/>
  <c r="F13" i="1" s="1"/>
  <c r="E15" i="1"/>
  <c r="E13" i="1"/>
  <c r="E16" i="1"/>
  <c r="E14" i="1"/>
  <c r="H12" i="1" l="1"/>
  <c r="I12" i="1" s="1"/>
  <c r="H13" i="1"/>
  <c r="I13" i="1" s="1"/>
  <c r="F14" i="1"/>
  <c r="F15" i="1" l="1"/>
  <c r="H14" i="1"/>
  <c r="I14" i="1" s="1"/>
  <c r="F16" i="1" l="1"/>
  <c r="H16" i="1" s="1"/>
  <c r="I16" i="1" s="1"/>
  <c r="H15" i="1"/>
  <c r="I15" i="1" s="1"/>
</calcChain>
</file>

<file path=xl/sharedStrings.xml><?xml version="1.0" encoding="utf-8"?>
<sst xmlns="http://schemas.openxmlformats.org/spreadsheetml/2006/main" count="140" uniqueCount="34">
  <si>
    <t>KW-DC</t>
  </si>
  <si>
    <t>1 Tesla</t>
  </si>
  <si>
    <t xml:space="preserve">Consultor </t>
  </si>
  <si>
    <t>EPC vendido</t>
  </si>
  <si>
    <t>Panel</t>
  </si>
  <si>
    <t xml:space="preserve">Comisión % </t>
  </si>
  <si>
    <t>Total %</t>
  </si>
  <si>
    <t>EPC Base</t>
  </si>
  <si>
    <t>BONO</t>
  </si>
  <si>
    <t xml:space="preserve">Cantidad PV </t>
  </si>
  <si>
    <t xml:space="preserve">Team-Lider </t>
  </si>
  <si>
    <t xml:space="preserve">Gerente </t>
  </si>
  <si>
    <t>Gerente Pro</t>
  </si>
  <si>
    <t xml:space="preserve">Gerente Executive </t>
  </si>
  <si>
    <t xml:space="preserve">Niveles </t>
  </si>
  <si>
    <t xml:space="preserve">Diferencial de venta 100% </t>
  </si>
  <si>
    <t xml:space="preserve">GRAN TOTAL Comisión Hybrid Pay </t>
  </si>
  <si>
    <t>Comision</t>
  </si>
  <si>
    <t>2 Tesla</t>
  </si>
  <si>
    <t>2 Tesla con Enphase Micro</t>
  </si>
  <si>
    <t>2 Tesla Plus</t>
  </si>
  <si>
    <t>1 Tesla Plus</t>
  </si>
  <si>
    <t>3 Tesla Plus</t>
  </si>
  <si>
    <t>3 Tesla con Enphase Micro</t>
  </si>
  <si>
    <t>3 Tesla</t>
  </si>
  <si>
    <t>Maximo 68 paneles</t>
  </si>
  <si>
    <t>4 Tesla</t>
  </si>
  <si>
    <t>1 Tesla con Enphase Micro</t>
  </si>
  <si>
    <t>4 Tesla con Enphase Micro</t>
  </si>
  <si>
    <t>Maximo 24 paneles</t>
  </si>
  <si>
    <t>Maximo 50 Paneles</t>
  </si>
  <si>
    <t>Maximo 50 paneles</t>
  </si>
  <si>
    <t>Maximo 32 paneles</t>
  </si>
  <si>
    <t>Maximo 68 Paneles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</si>
</sst>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" fontId="0" fillId="2" borderId="0" xfId="0" applyNumberFormat="1" applyFill="1" applyAlignment="1" applyProtection="1">
      <alignment horizontal="center"/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right"/>
      <protection hidden="1"/>
    </xf>
    <xf numFmtId="164" fontId="0" fillId="0" borderId="0" xfId="0" applyNumberFormat="1" applyAlignment="1" applyProtection="1">
      <alignment horizontal="center"/>
      <protection hidden="1"/>
    </xf>
    <xf numFmtId="0" fontId="0" fillId="5" borderId="0" xfId="0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164" fontId="0" fillId="4" borderId="0" xfId="0" applyNumberFormat="1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 wrapText="1"/>
      <protection hidden="1"/>
    </xf>
    <xf numFmtId="0" fontId="0" fillId="3" borderId="0" xfId="0" applyFill="1" applyAlignment="1" applyProtection="1">
      <alignment horizontal="center"/>
      <protection hidden="1"/>
    </xf>
    <xf numFmtId="9" fontId="0" fillId="3" borderId="0" xfId="0" applyNumberFormat="1" applyFill="1" applyAlignment="1" applyProtection="1">
      <alignment horizontal="center"/>
      <protection hidden="1"/>
    </xf>
    <xf numFmtId="164" fontId="0" fillId="3" borderId="0" xfId="0" applyNumberFormat="1" applyFill="1" applyAlignment="1" applyProtection="1">
      <alignment horizontal="center"/>
      <protection hidden="1"/>
    </xf>
    <xf numFmtId="9" fontId="0" fillId="6" borderId="0" xfId="1" applyFont="1" applyFill="1" applyAlignment="1" applyProtection="1">
      <alignment horizontal="center"/>
      <protection hidden="1"/>
    </xf>
    <xf numFmtId="9" fontId="0" fillId="5" borderId="0" xfId="0" applyNumberFormat="1" applyFill="1" applyAlignment="1" applyProtection="1">
      <alignment horizontal="center"/>
      <protection hidden="1"/>
    </xf>
    <xf numFmtId="164" fontId="0" fillId="5" borderId="0" xfId="0" applyNumberFormat="1" applyFill="1" applyAlignment="1" applyProtection="1">
      <alignment horizontal="center"/>
      <protection hidden="1"/>
    </xf>
    <xf numFmtId="9" fontId="0" fillId="5" borderId="0" xfId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7" borderId="0" xfId="0" applyFont="1" applyFill="1" applyProtection="1">
      <protection hidden="1"/>
    </xf>
    <xf numFmtId="0" fontId="3" fillId="5" borderId="0" xfId="0" applyFont="1" applyFill="1" applyAlignment="1" applyProtection="1">
      <alignment horizontal="center"/>
      <protection hidden="1"/>
    </xf>
    <xf numFmtId="164" fontId="0" fillId="5" borderId="0" xfId="0" applyNumberFormat="1" applyFill="1" applyProtection="1">
      <protection hidden="1"/>
    </xf>
    <xf numFmtId="164" fontId="3" fillId="5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164" fontId="0" fillId="0" borderId="0" xfId="0" applyNumberFormat="1" applyProtection="1">
      <protection hidden="1"/>
    </xf>
    <xf numFmtId="0" fontId="2" fillId="5" borderId="0" xfId="0" applyFont="1" applyFill="1" applyAlignment="1" applyProtection="1">
      <alignment horizontal="right"/>
      <protection hidden="1"/>
    </xf>
    <xf numFmtId="0" fontId="0" fillId="5" borderId="0" xfId="0" applyFill="1" applyAlignment="1" applyProtection="1">
      <alignment horizontal="left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64" fontId="0" fillId="7" borderId="0" xfId="0" applyNumberFormat="1" applyFill="1" applyProtection="1">
      <protection hidden="1"/>
    </xf>
    <xf numFmtId="0" fontId="0" fillId="7" borderId="0" xfId="0" applyFill="1" applyProtection="1">
      <protection hidden="1"/>
    </xf>
    <xf numFmtId="0" fontId="0" fillId="7" borderId="0" xfId="0" applyFill="1" applyAlignment="1" applyProtection="1">
      <alignment horizontal="center"/>
      <protection hidden="1"/>
    </xf>
    <xf numFmtId="0" fontId="2" fillId="5" borderId="0" xfId="0" applyFont="1" applyFill="1" applyProtection="1">
      <protection hidden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</xdr:colOff>
      <xdr:row>6</xdr:row>
      <xdr:rowOff>7620</xdr:rowOff>
    </xdr:from>
    <xdr:to>
      <xdr:col>7</xdr:col>
      <xdr:colOff>762000</xdr:colOff>
      <xdr:row>8</xdr:row>
      <xdr:rowOff>91440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EE2BE5A4-EF6E-477A-974F-573C329475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74820" y="1394460"/>
          <a:ext cx="2339340" cy="44958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</xdr:colOff>
      <xdr:row>6</xdr:row>
      <xdr:rowOff>76200</xdr:rowOff>
    </xdr:from>
    <xdr:to>
      <xdr:col>7</xdr:col>
      <xdr:colOff>777240</xdr:colOff>
      <xdr:row>8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DD44F18D-D7AB-4578-B76B-2B1944C7CD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3400" y="1463040"/>
          <a:ext cx="2286000" cy="40386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6</xdr:row>
      <xdr:rowOff>129540</xdr:rowOff>
    </xdr:from>
    <xdr:to>
      <xdr:col>7</xdr:col>
      <xdr:colOff>769620</xdr:colOff>
      <xdr:row>8</xdr:row>
      <xdr:rowOff>175260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6C8EED7-BA25-4069-B827-5B64187178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51020" y="1516380"/>
          <a:ext cx="2270760" cy="41148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259080</xdr:colOff>
      <xdr:row>6</xdr:row>
      <xdr:rowOff>76200</xdr:rowOff>
    </xdr:from>
    <xdr:to>
      <xdr:col>7</xdr:col>
      <xdr:colOff>1005840</xdr:colOff>
      <xdr:row>8</xdr:row>
      <xdr:rowOff>152400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1480" y="1463040"/>
          <a:ext cx="2385060" cy="44196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</xdr:colOff>
      <xdr:row>6</xdr:row>
      <xdr:rowOff>68580</xdr:rowOff>
    </xdr:from>
    <xdr:to>
      <xdr:col>7</xdr:col>
      <xdr:colOff>906780</xdr:colOff>
      <xdr:row>8</xdr:row>
      <xdr:rowOff>175260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940F5CA7-EE29-4246-BB5E-069D0E187D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74820" y="1455420"/>
          <a:ext cx="2484120" cy="47244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114300</xdr:rowOff>
    </xdr:from>
    <xdr:to>
      <xdr:col>7</xdr:col>
      <xdr:colOff>861060</xdr:colOff>
      <xdr:row>8</xdr:row>
      <xdr:rowOff>160020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DD9A4C1A-D4D3-4C89-9788-F0A686048F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28160" y="1501140"/>
          <a:ext cx="2385060" cy="41148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182880</xdr:colOff>
      <xdr:row>6</xdr:row>
      <xdr:rowOff>114300</xdr:rowOff>
    </xdr:from>
    <xdr:to>
      <xdr:col>7</xdr:col>
      <xdr:colOff>739140</xdr:colOff>
      <xdr:row>8</xdr:row>
      <xdr:rowOff>167640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55E7BA49-BBF6-41F1-91CD-CA7D750AD3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6740" y="1501140"/>
          <a:ext cx="2194560" cy="419100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1C45-03CA-47A5-87F8-A2E78DA90DBC}">
  <dimension ref="A2:J22"/>
  <sheetViews>
    <sheetView zoomScaleNormal="100" zoomScaleSheetLayoutView="100" workbookViewId="0">
      <selection activeCell="D10" sqref="D10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6.8867187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20</v>
      </c>
      <c r="E6" s="25" t="s">
        <v>29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8100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21</v>
      </c>
      <c r="D8" s="17">
        <v>1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4.16</v>
      </c>
      <c r="E9" s="5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((D7*C18)+(D8*13000))/D7</f>
        <v>4.1549382716049381</v>
      </c>
      <c r="E10" s="19" t="s">
        <v>21</v>
      </c>
      <c r="F10" s="19"/>
      <c r="G10" s="19"/>
      <c r="H10" s="19"/>
      <c r="I10" s="19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3365.5</v>
      </c>
      <c r="F12" s="12">
        <f>(D9-D10)*D7</f>
        <v>41.000000000002416</v>
      </c>
      <c r="G12" s="12">
        <v>500</v>
      </c>
      <c r="H12" s="12">
        <f>E12+F12+G12</f>
        <v>3906.5000000000023</v>
      </c>
      <c r="I12" s="13">
        <f>H12/(D7*D9)</f>
        <v>0.11593364197530871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3702.05</v>
      </c>
      <c r="F13" s="15">
        <f>F12</f>
        <v>41.000000000002416</v>
      </c>
      <c r="G13" s="15">
        <v>500</v>
      </c>
      <c r="H13" s="15">
        <f>E13+F13+G13</f>
        <v>4243.0500000000029</v>
      </c>
      <c r="I13" s="16">
        <f>H13/(D7*D9)</f>
        <v>0.12592147435897444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4038.6</v>
      </c>
      <c r="F14" s="12">
        <f t="shared" ref="F14:F16" si="0">F13</f>
        <v>41.000000000002416</v>
      </c>
      <c r="G14" s="12">
        <v>500</v>
      </c>
      <c r="H14" s="12">
        <f t="shared" ref="H14:H17" si="1">E14+F14+G14</f>
        <v>4579.6000000000022</v>
      </c>
      <c r="I14" s="13">
        <f>H14/(D7*D9)</f>
        <v>0.13590930674264015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4375.1500000000005</v>
      </c>
      <c r="F15" s="15">
        <f t="shared" si="0"/>
        <v>41.000000000002416</v>
      </c>
      <c r="G15" s="15">
        <v>500</v>
      </c>
      <c r="H15" s="15">
        <f t="shared" si="1"/>
        <v>4916.1500000000033</v>
      </c>
      <c r="I15" s="16">
        <f>H15/(D7*D9)</f>
        <v>0.14589713912630589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4711.7000000000007</v>
      </c>
      <c r="F16" s="12">
        <f t="shared" si="0"/>
        <v>41.000000000002416</v>
      </c>
      <c r="G16" s="12">
        <v>500</v>
      </c>
      <c r="H16" s="12">
        <f t="shared" si="1"/>
        <v>5252.7000000000035</v>
      </c>
      <c r="I16" s="13">
        <f>H16/(D7*D9)</f>
        <v>0.1558849715099716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2.5499999999999998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D19" s="15"/>
      <c r="E19" s="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Ww5a6wJwk3SGE8p7/mYM25u6Y68G/H40TE74lSrCBML8zkachiCWrQM/35KDNAzlKwmUj7AeH48rk4CipsSWpw==" saltValue="BY5PYEBWDdGwDDrh//ESIQ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F202-79DD-442B-9AD9-0D04348D4D4C}">
  <dimension ref="A2:J22"/>
  <sheetViews>
    <sheetView zoomScaleNormal="100" zoomScaleSheetLayoutView="100" workbookViewId="0">
      <selection activeCell="D10" sqref="D10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6.8867187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50</v>
      </c>
      <c r="E6" s="25" t="s">
        <v>31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20250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20</v>
      </c>
      <c r="D8" s="17">
        <v>2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3.75</v>
      </c>
      <c r="E9" s="5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((D7*C18)+(11000+13000))/D7</f>
        <v>3.7351851851851854</v>
      </c>
      <c r="E10" s="19" t="s">
        <v>20</v>
      </c>
      <c r="F10" s="19"/>
      <c r="G10" s="19"/>
      <c r="H10" s="19"/>
      <c r="I10" s="19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7563.75</v>
      </c>
      <c r="F12" s="12">
        <f>(D9-D10)*D7</f>
        <v>299.99999999999596</v>
      </c>
      <c r="G12" s="12">
        <v>500</v>
      </c>
      <c r="H12" s="12">
        <f>E12+F12+G12</f>
        <v>8363.7499999999964</v>
      </c>
      <c r="I12" s="13">
        <f>H12/(D7*D9)</f>
        <v>0.1101399176954732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8320.125</v>
      </c>
      <c r="F13" s="15">
        <f>F12</f>
        <v>299.99999999999596</v>
      </c>
      <c r="G13" s="15">
        <v>500</v>
      </c>
      <c r="H13" s="15">
        <f>E13+F13+G13</f>
        <v>9120.1249999999964</v>
      </c>
      <c r="I13" s="16">
        <f>H13/(D7*D9)</f>
        <v>0.12010041152263369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9076.5</v>
      </c>
      <c r="F14" s="12">
        <f t="shared" ref="F14:F16" si="0">F13</f>
        <v>299.99999999999596</v>
      </c>
      <c r="G14" s="12">
        <v>500</v>
      </c>
      <c r="H14" s="12">
        <f t="shared" ref="H14:H17" si="1">E14+F14+G14</f>
        <v>9876.4999999999964</v>
      </c>
      <c r="I14" s="13">
        <f>H14/(D7*D9)</f>
        <v>0.1300609053497942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9832.875</v>
      </c>
      <c r="F15" s="15">
        <f t="shared" si="0"/>
        <v>299.99999999999596</v>
      </c>
      <c r="G15" s="15">
        <v>500</v>
      </c>
      <c r="H15" s="15">
        <f t="shared" si="1"/>
        <v>10632.874999999996</v>
      </c>
      <c r="I15" s="16">
        <f>H15/(D7*D9)</f>
        <v>0.14002139917695469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10589.250000000002</v>
      </c>
      <c r="F16" s="12">
        <f t="shared" si="0"/>
        <v>299.99999999999596</v>
      </c>
      <c r="G16" s="12">
        <v>500</v>
      </c>
      <c r="H16" s="12">
        <f t="shared" si="1"/>
        <v>11389.249999999998</v>
      </c>
      <c r="I16" s="13">
        <f>H16/(D7*D9)</f>
        <v>0.14998189300411521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2.5499999999999998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C19" s="25"/>
      <c r="D19" s="15"/>
      <c r="E19" s="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BaTl4zGZz2h3thxTntFkBc7bMMgfD3rJ6EzL0/2sIO1C5TIiVgpTqxWdwIaCqcArdItTOdukeFYlEwOsiPiXew==" saltValue="UYSBTkKeGgov829qGRpy9A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2E19-97E4-4A12-BA7E-6A2E87CD8EC8}">
  <dimension ref="A2:J22"/>
  <sheetViews>
    <sheetView zoomScaleNormal="100" zoomScaleSheetLayoutView="100" workbookViewId="0">
      <selection activeCell="D10" sqref="D10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6.8867187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50</v>
      </c>
      <c r="E6" s="25" t="s">
        <v>31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20250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22</v>
      </c>
      <c r="D8" s="17">
        <v>3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4.29</v>
      </c>
      <c r="E9" s="5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((D7*C18)+(11000+13000+11000))/D7</f>
        <v>4.2783950617283955</v>
      </c>
      <c r="E10" s="19" t="s">
        <v>22</v>
      </c>
      <c r="F10" s="19"/>
      <c r="G10" s="19"/>
      <c r="H10" s="19"/>
      <c r="I10" s="19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8663.7500000000018</v>
      </c>
      <c r="F12" s="12">
        <f>(D9-D10)*D7</f>
        <v>234.99999999999278</v>
      </c>
      <c r="G12" s="12">
        <v>500</v>
      </c>
      <c r="H12" s="12">
        <f>E12+F12+G12</f>
        <v>9398.7499999999945</v>
      </c>
      <c r="I12" s="13">
        <f>H12/(D7*D9)</f>
        <v>0.10819016374571924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9530.1250000000018</v>
      </c>
      <c r="F13" s="15">
        <f>F12</f>
        <v>234.99999999999278</v>
      </c>
      <c r="G13" s="15">
        <v>500</v>
      </c>
      <c r="H13" s="15">
        <f>E13+F13+G13</f>
        <v>10265.124999999995</v>
      </c>
      <c r="I13" s="16">
        <f>H13/(D7*D9)</f>
        <v>0.11816311260755699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10396.500000000002</v>
      </c>
      <c r="F14" s="12">
        <f t="shared" ref="F14:F16" si="0">F13</f>
        <v>234.99999999999278</v>
      </c>
      <c r="G14" s="12">
        <v>500</v>
      </c>
      <c r="H14" s="12">
        <f t="shared" ref="H14:H17" si="1">E14+F14+G14</f>
        <v>11131.499999999995</v>
      </c>
      <c r="I14" s="13">
        <f>H14/(D7*D9)</f>
        <v>0.12813606146939474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11262.875000000002</v>
      </c>
      <c r="F15" s="15">
        <f t="shared" si="0"/>
        <v>234.99999999999278</v>
      </c>
      <c r="G15" s="15">
        <v>500</v>
      </c>
      <c r="H15" s="15">
        <f t="shared" si="1"/>
        <v>11997.874999999995</v>
      </c>
      <c r="I15" s="16">
        <f>H15/(D7*D9)</f>
        <v>0.13810901033123249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12129.250000000004</v>
      </c>
      <c r="F16" s="12">
        <f t="shared" si="0"/>
        <v>234.99999999999278</v>
      </c>
      <c r="G16" s="12">
        <v>500</v>
      </c>
      <c r="H16" s="12">
        <f t="shared" si="1"/>
        <v>12864.249999999996</v>
      </c>
      <c r="I16" s="13">
        <f>H16/(D7*D9)</f>
        <v>0.14808195919307027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2.5499999999999998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C19" s="3"/>
      <c r="D19" s="15"/>
      <c r="E19" s="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9uQdLRpYsQWqxekuOQ5iX14LOzmnUSa07hP9gML8v2Th04ADWmTb7AyaIMaerdHPFG0rBzE+8hOk6CK0SiMiNA==" saltValue="KBUWGIM0us6YRHWzNeQfUw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61E1-2863-5345-8DD1-FE411D653330}">
  <dimension ref="A2:J22"/>
  <sheetViews>
    <sheetView zoomScaleNormal="100" zoomScaleSheetLayoutView="100" workbookViewId="0">
      <selection activeCell="D10" sqref="D10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7.4414062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32</v>
      </c>
      <c r="E6" s="25" t="s">
        <v>32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12960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1</v>
      </c>
      <c r="D8" s="17">
        <v>1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3.71</v>
      </c>
      <c r="E9" s="20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((D7*C18)+(D8*13000))/D7</f>
        <v>3.7030864197530864</v>
      </c>
      <c r="E10" s="21" t="s">
        <v>27</v>
      </c>
      <c r="F10" s="21"/>
      <c r="G10" s="21"/>
      <c r="H10" s="21"/>
      <c r="I10" s="21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4799.2</v>
      </c>
      <c r="F12" s="12">
        <f>(D9-D10)*D7</f>
        <v>89.599999999999937</v>
      </c>
      <c r="G12" s="12">
        <v>500</v>
      </c>
      <c r="H12" s="12">
        <f>E12+F12+G12</f>
        <v>5388.8</v>
      </c>
      <c r="I12" s="13">
        <f>H12/(D7*D9)</f>
        <v>0.11207613723336994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5279.12</v>
      </c>
      <c r="F13" s="15">
        <f>F12</f>
        <v>89.599999999999937</v>
      </c>
      <c r="G13" s="15">
        <v>500</v>
      </c>
      <c r="H13" s="15">
        <f>E13+F13+G13</f>
        <v>5868.72</v>
      </c>
      <c r="I13" s="16">
        <f>H13/(D7*D9)</f>
        <v>0.1220575022461815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5759.04</v>
      </c>
      <c r="F14" s="12">
        <f t="shared" ref="F14:F16" si="0">F13</f>
        <v>89.599999999999937</v>
      </c>
      <c r="G14" s="12">
        <v>500</v>
      </c>
      <c r="H14" s="12">
        <f t="shared" ref="H13:H16" si="1">E14+F14+G14</f>
        <v>6348.64</v>
      </c>
      <c r="I14" s="13">
        <f>H14/(D7*D9)</f>
        <v>0.13203886725899305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6238.96</v>
      </c>
      <c r="F15" s="15">
        <f t="shared" si="0"/>
        <v>89.599999999999937</v>
      </c>
      <c r="G15" s="15">
        <v>500</v>
      </c>
      <c r="H15" s="15">
        <f t="shared" si="1"/>
        <v>6828.56</v>
      </c>
      <c r="I15" s="16">
        <f>H15/(D7*D9)</f>
        <v>0.1420202322718046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6718.880000000001</v>
      </c>
      <c r="F16" s="12">
        <f t="shared" si="0"/>
        <v>89.599999999999937</v>
      </c>
      <c r="G16" s="12">
        <v>500</v>
      </c>
      <c r="H16" s="12">
        <f t="shared" si="1"/>
        <v>7308.4800000000014</v>
      </c>
      <c r="I16" s="13">
        <f>H16/(D7*D9)</f>
        <v>0.15200159728461618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2.7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D19" s="15"/>
      <c r="E19" s="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vUX6ghZHoHqFLaPzENcTlGpHKNqF7sFWwZzer2xHoFpaeerTNp09+PzRpEPv+dY2dz72Uu2fpqIE2d579746KQ==" saltValue="C/5hnTD0Xt5p08egXCEW6Q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1D79-3F24-4468-B816-E4E81C0ED102}">
  <dimension ref="A2:J22"/>
  <sheetViews>
    <sheetView zoomScaleNormal="100" zoomScaleSheetLayoutView="100" workbookViewId="0">
      <selection activeCell="D10" sqref="D10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6.8867187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23</v>
      </c>
      <c r="E6" s="25" t="s">
        <v>30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9315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18</v>
      </c>
      <c r="D8" s="17">
        <v>2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5.29</v>
      </c>
      <c r="E9" s="5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((D7*C18)+(13000+11000))/D7</f>
        <v>5.2764895330112722</v>
      </c>
      <c r="E10" s="19" t="s">
        <v>19</v>
      </c>
      <c r="F10" s="19"/>
      <c r="G10" s="19"/>
      <c r="H10" s="19"/>
      <c r="I10" s="19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4915.05</v>
      </c>
      <c r="F12" s="12">
        <f>(D9-D10)*D7</f>
        <v>125.84999999999965</v>
      </c>
      <c r="G12" s="12">
        <v>500</v>
      </c>
      <c r="H12" s="12">
        <f>E12+F12+G12</f>
        <v>5540.9</v>
      </c>
      <c r="I12" s="13">
        <f>H12/(D7*D9)</f>
        <v>0.11244542260130874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5406.5550000000003</v>
      </c>
      <c r="F13" s="15">
        <f>F12</f>
        <v>125.84999999999965</v>
      </c>
      <c r="G13" s="15">
        <v>500</v>
      </c>
      <c r="H13" s="15">
        <f>E13+F13+G13</f>
        <v>6032.4049999999997</v>
      </c>
      <c r="I13" s="16">
        <f>H13/(D7*D9)</f>
        <v>0.12241988296616937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5898.0599999999995</v>
      </c>
      <c r="F14" s="12">
        <f t="shared" ref="F14:F16" si="0">F13</f>
        <v>125.84999999999965</v>
      </c>
      <c r="G14" s="12">
        <v>500</v>
      </c>
      <c r="H14" s="12">
        <f t="shared" ref="H14:H17" si="1">E14+F14+G14</f>
        <v>6523.9099999999989</v>
      </c>
      <c r="I14" s="13">
        <f>H14/(D7*D9)</f>
        <v>0.13239434333102998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6389.5650000000005</v>
      </c>
      <c r="F15" s="15">
        <f t="shared" si="0"/>
        <v>125.84999999999965</v>
      </c>
      <c r="G15" s="15">
        <v>500</v>
      </c>
      <c r="H15" s="15">
        <f t="shared" si="1"/>
        <v>7015.415</v>
      </c>
      <c r="I15" s="16">
        <f>H15/(D7*D9)</f>
        <v>0.14236880369589064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6881.0700000000006</v>
      </c>
      <c r="F16" s="12">
        <f t="shared" si="0"/>
        <v>125.84999999999965</v>
      </c>
      <c r="G16" s="12">
        <v>500</v>
      </c>
      <c r="H16" s="12">
        <f t="shared" si="1"/>
        <v>7506.92</v>
      </c>
      <c r="I16" s="13">
        <f>H16/(D7*D9)</f>
        <v>0.15234326406075127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2.7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D19" s="15"/>
      <c r="E19" s="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UHa0kc/7g9inC8s7/KjxvBDX0fHrI2W4OEDyV8Qga882XnUqnzEd5EF7JBRoitOAN9NOEsrwNWdb+7fOCsjMhg==" saltValue="UY9OV7q4e06cbDLPvuTXkg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9117-E38C-4BB5-A3B9-88E0B465E54A}">
  <dimension ref="A2:J22"/>
  <sheetViews>
    <sheetView zoomScaleNormal="100" zoomScaleSheetLayoutView="100" workbookViewId="0">
      <selection activeCell="D9" sqref="D9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6.8867187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50</v>
      </c>
      <c r="E6" s="25" t="s">
        <v>33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20250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24</v>
      </c>
      <c r="D8" s="17">
        <v>3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4.4400000000000004</v>
      </c>
      <c r="E9" s="5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((D7*C18)+(13000+11000+11000))/D7</f>
        <v>4.4283950617283949</v>
      </c>
      <c r="E10" s="19" t="s">
        <v>23</v>
      </c>
      <c r="F10" s="19"/>
      <c r="G10" s="19"/>
      <c r="H10" s="19"/>
      <c r="I10" s="19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8967.5</v>
      </c>
      <c r="F12" s="12">
        <f>(D9-D10)*D7</f>
        <v>235.00000000001074</v>
      </c>
      <c r="G12" s="12">
        <v>500</v>
      </c>
      <c r="H12" s="12">
        <f>E12+F12+G12</f>
        <v>9702.5000000000109</v>
      </c>
      <c r="I12" s="13">
        <f>H12/(D7*D9)</f>
        <v>0.10791346902458024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9864.25</v>
      </c>
      <c r="F13" s="15">
        <f>F12</f>
        <v>235.00000000001074</v>
      </c>
      <c r="G13" s="15">
        <v>500</v>
      </c>
      <c r="H13" s="15">
        <f>E13+F13+G13</f>
        <v>10599.250000000011</v>
      </c>
      <c r="I13" s="16">
        <f>H13/(D7*D9)</f>
        <v>0.11788733177622077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10761</v>
      </c>
      <c r="F14" s="12">
        <f t="shared" ref="F14:F16" si="0">F13</f>
        <v>235.00000000001074</v>
      </c>
      <c r="G14" s="12">
        <v>500</v>
      </c>
      <c r="H14" s="12">
        <f t="shared" ref="H14:H17" si="1">E14+F14+G14</f>
        <v>11496.000000000011</v>
      </c>
      <c r="I14" s="13">
        <f>H14/(D7*D9)</f>
        <v>0.12786119452786129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11657.75</v>
      </c>
      <c r="F15" s="15">
        <f t="shared" si="0"/>
        <v>235.00000000001074</v>
      </c>
      <c r="G15" s="15">
        <v>500</v>
      </c>
      <c r="H15" s="15">
        <f t="shared" si="1"/>
        <v>12392.750000000011</v>
      </c>
      <c r="I15" s="16">
        <f>H15/(D7*D9)</f>
        <v>0.13783505727950182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12554.500000000002</v>
      </c>
      <c r="F16" s="12">
        <f t="shared" si="0"/>
        <v>235.00000000001074</v>
      </c>
      <c r="G16" s="12">
        <v>500</v>
      </c>
      <c r="H16" s="12">
        <f t="shared" si="1"/>
        <v>13289.500000000013</v>
      </c>
      <c r="I16" s="13">
        <f>H16/(D7*D9)</f>
        <v>0.14780892003114238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2.7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C19" s="5"/>
      <c r="D19" s="15"/>
      <c r="E19" s="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TmxgJgSgOiERL7QU8Jjzm2nrifdtZn0NaqqGIISeMdlDF43p7JGb3495Ka9j6PLFuzeWGGaH6zB6vT5uHvC7rA==" saltValue="k2cOnFD6uYGg+pDIkZW3Lw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1284-FADE-44C4-A7F2-603F371221CF}">
  <dimension ref="A2:J22"/>
  <sheetViews>
    <sheetView tabSelected="1" zoomScaleNormal="100" zoomScaleSheetLayoutView="100" workbookViewId="0">
      <selection activeCell="I25" sqref="I25"/>
    </sheetView>
  </sheetViews>
  <sheetFormatPr defaultRowHeight="14.4" x14ac:dyDescent="0.3"/>
  <cols>
    <col min="1" max="2" width="8.88671875" style="22"/>
    <col min="3" max="3" width="16.5546875" style="23" bestFit="1" customWidth="1"/>
    <col min="4" max="4" width="10.21875" style="24" bestFit="1" customWidth="1"/>
    <col min="5" max="5" width="16.88671875" style="22" bestFit="1" customWidth="1"/>
    <col min="6" max="6" width="14" style="22" customWidth="1"/>
    <col min="7" max="7" width="9.88671875" style="22" customWidth="1"/>
    <col min="8" max="8" width="19.21875" style="22" customWidth="1"/>
    <col min="9" max="9" width="10" style="17" bestFit="1" customWidth="1"/>
    <col min="10" max="16384" width="8.88671875" style="22"/>
  </cols>
  <sheetData>
    <row r="2" spans="1:10" ht="37.5" customHeight="1" x14ac:dyDescent="0.3"/>
    <row r="3" spans="1:10" x14ac:dyDescent="0.3">
      <c r="A3" s="5"/>
      <c r="B3" s="5"/>
      <c r="C3" s="3"/>
      <c r="J3" s="5"/>
    </row>
    <row r="4" spans="1:10" x14ac:dyDescent="0.3">
      <c r="A4" s="5"/>
      <c r="B4" s="5"/>
      <c r="C4" s="3"/>
      <c r="D4" s="20"/>
      <c r="E4" s="5"/>
      <c r="F4" s="5"/>
      <c r="G4" s="5"/>
      <c r="H4" s="5"/>
      <c r="I4" s="6"/>
      <c r="J4" s="5"/>
    </row>
    <row r="5" spans="1:10" x14ac:dyDescent="0.3">
      <c r="A5" s="5"/>
      <c r="B5" s="5"/>
      <c r="C5" s="3" t="s">
        <v>4</v>
      </c>
      <c r="D5" s="17">
        <v>405</v>
      </c>
      <c r="E5" s="5"/>
      <c r="F5" s="5"/>
      <c r="G5" s="5"/>
      <c r="H5" s="5"/>
      <c r="I5" s="6"/>
      <c r="J5" s="5"/>
    </row>
    <row r="6" spans="1:10" x14ac:dyDescent="0.3">
      <c r="A6" s="5"/>
      <c r="B6" s="5"/>
      <c r="C6" s="3" t="s">
        <v>9</v>
      </c>
      <c r="D6" s="1">
        <v>50</v>
      </c>
      <c r="E6" s="32" t="s">
        <v>25</v>
      </c>
      <c r="F6" s="5"/>
      <c r="G6" s="5"/>
      <c r="H6" s="5"/>
      <c r="I6" s="6"/>
      <c r="J6" s="5"/>
    </row>
    <row r="7" spans="1:10" x14ac:dyDescent="0.3">
      <c r="A7" s="5"/>
      <c r="B7" s="5"/>
      <c r="C7" s="3" t="s">
        <v>0</v>
      </c>
      <c r="D7" s="6">
        <f>D5*D6</f>
        <v>20250</v>
      </c>
      <c r="E7" s="5"/>
      <c r="F7" s="5"/>
      <c r="G7" s="5"/>
      <c r="H7" s="5"/>
      <c r="I7" s="6"/>
      <c r="J7" s="5"/>
    </row>
    <row r="8" spans="1:10" x14ac:dyDescent="0.3">
      <c r="A8" s="5"/>
      <c r="B8" s="5"/>
      <c r="C8" s="3" t="s">
        <v>26</v>
      </c>
      <c r="D8" s="17">
        <v>4</v>
      </c>
      <c r="E8" s="5"/>
      <c r="F8" s="5"/>
      <c r="G8" s="5"/>
      <c r="H8" s="26"/>
      <c r="I8" s="6"/>
      <c r="J8" s="5"/>
    </row>
    <row r="9" spans="1:10" x14ac:dyDescent="0.3">
      <c r="A9" s="5"/>
      <c r="B9" s="5"/>
      <c r="C9" s="3" t="s">
        <v>3</v>
      </c>
      <c r="D9" s="2">
        <v>4.9800000000000004</v>
      </c>
      <c r="E9" s="5"/>
      <c r="F9" s="5"/>
      <c r="G9" s="5"/>
      <c r="H9" s="5"/>
      <c r="I9" s="6"/>
      <c r="J9" s="5"/>
    </row>
    <row r="10" spans="1:10" x14ac:dyDescent="0.3">
      <c r="A10" s="5"/>
      <c r="B10" s="5"/>
      <c r="C10" s="3" t="s">
        <v>7</v>
      </c>
      <c r="D10" s="4">
        <f>((D7*C18)+(13000+11000+11000+11000))/D7</f>
        <v>4.9716049382716045</v>
      </c>
      <c r="E10" s="19" t="s">
        <v>28</v>
      </c>
      <c r="F10" s="19"/>
      <c r="G10" s="19"/>
      <c r="H10" s="19"/>
      <c r="I10" s="19"/>
      <c r="J10" s="5"/>
    </row>
    <row r="11" spans="1:10" s="28" customFormat="1" ht="28.8" x14ac:dyDescent="0.3">
      <c r="A11" s="27"/>
      <c r="B11" s="27"/>
      <c r="C11" s="7" t="s">
        <v>14</v>
      </c>
      <c r="D11" s="8" t="s">
        <v>5</v>
      </c>
      <c r="E11" s="7" t="s">
        <v>6</v>
      </c>
      <c r="F11" s="9" t="s">
        <v>15</v>
      </c>
      <c r="G11" s="7" t="s">
        <v>8</v>
      </c>
      <c r="H11" s="9" t="s">
        <v>16</v>
      </c>
      <c r="I11" s="7" t="s">
        <v>17</v>
      </c>
      <c r="J11" s="27"/>
    </row>
    <row r="12" spans="1:10" x14ac:dyDescent="0.3">
      <c r="A12" s="5"/>
      <c r="B12" s="5"/>
      <c r="C12" s="10" t="s">
        <v>2</v>
      </c>
      <c r="D12" s="11">
        <v>0.1</v>
      </c>
      <c r="E12" s="12">
        <f>(D7*D10)*D12</f>
        <v>10067.5</v>
      </c>
      <c r="F12" s="12">
        <f>(D9-D10)*D7</f>
        <v>170.00000000001657</v>
      </c>
      <c r="G12" s="12">
        <v>500</v>
      </c>
      <c r="H12" s="12">
        <f>E12+F12+G12</f>
        <v>10737.500000000016</v>
      </c>
      <c r="I12" s="13">
        <f>H12/(D7*D9)</f>
        <v>0.10647528385145535</v>
      </c>
      <c r="J12" s="5"/>
    </row>
    <row r="13" spans="1:10" x14ac:dyDescent="0.3">
      <c r="A13" s="5"/>
      <c r="B13" s="5"/>
      <c r="C13" s="6" t="s">
        <v>10</v>
      </c>
      <c r="D13" s="14">
        <v>0.11</v>
      </c>
      <c r="E13" s="15">
        <f>(D7*D10*D13)</f>
        <v>11074.249999999998</v>
      </c>
      <c r="F13" s="15">
        <f>F12</f>
        <v>170.00000000001657</v>
      </c>
      <c r="G13" s="15">
        <v>500</v>
      </c>
      <c r="H13" s="15">
        <f>E13+F13+G13</f>
        <v>11744.250000000015</v>
      </c>
      <c r="I13" s="16">
        <f>H13/(D7*D9)</f>
        <v>0.11645842629778386</v>
      </c>
      <c r="J13" s="5"/>
    </row>
    <row r="14" spans="1:10" x14ac:dyDescent="0.3">
      <c r="A14" s="5"/>
      <c r="B14" s="5"/>
      <c r="C14" s="10" t="s">
        <v>11</v>
      </c>
      <c r="D14" s="11">
        <v>0.12</v>
      </c>
      <c r="E14" s="12">
        <f>D7*D10*D14</f>
        <v>12080.999999999998</v>
      </c>
      <c r="F14" s="12">
        <f t="shared" ref="F14:F16" si="0">F13</f>
        <v>170.00000000001657</v>
      </c>
      <c r="G14" s="12">
        <v>500</v>
      </c>
      <c r="H14" s="12">
        <f t="shared" ref="H14:H17" si="1">E14+F14+G14</f>
        <v>12751.000000000015</v>
      </c>
      <c r="I14" s="13">
        <f>H14/(D7*D9)</f>
        <v>0.12644156874411239</v>
      </c>
      <c r="J14" s="5"/>
    </row>
    <row r="15" spans="1:10" x14ac:dyDescent="0.3">
      <c r="A15" s="5"/>
      <c r="B15" s="5"/>
      <c r="C15" s="6" t="s">
        <v>12</v>
      </c>
      <c r="D15" s="14">
        <v>0.13</v>
      </c>
      <c r="E15" s="15">
        <f>D7*D10*D15</f>
        <v>13087.749999999998</v>
      </c>
      <c r="F15" s="15">
        <f t="shared" si="0"/>
        <v>170.00000000001657</v>
      </c>
      <c r="G15" s="15">
        <v>500</v>
      </c>
      <c r="H15" s="15">
        <f t="shared" si="1"/>
        <v>13757.750000000015</v>
      </c>
      <c r="I15" s="16">
        <f>H15/(D7*D9)</f>
        <v>0.13642471119044089</v>
      </c>
      <c r="J15" s="5"/>
    </row>
    <row r="16" spans="1:10" x14ac:dyDescent="0.3">
      <c r="A16" s="5"/>
      <c r="B16" s="5"/>
      <c r="C16" s="10" t="s">
        <v>13</v>
      </c>
      <c r="D16" s="11">
        <v>0.14000000000000001</v>
      </c>
      <c r="E16" s="12">
        <f>D7*D10*D16</f>
        <v>14094.5</v>
      </c>
      <c r="F16" s="12">
        <f t="shared" si="0"/>
        <v>170.00000000001657</v>
      </c>
      <c r="G16" s="12">
        <v>500</v>
      </c>
      <c r="H16" s="12">
        <f t="shared" si="1"/>
        <v>14764.500000000016</v>
      </c>
      <c r="I16" s="13">
        <f>H16/(D7*D9)</f>
        <v>0.14640785363676945</v>
      </c>
      <c r="J16" s="5"/>
    </row>
    <row r="17" spans="1:10" x14ac:dyDescent="0.3">
      <c r="A17" s="5"/>
      <c r="B17" s="5"/>
      <c r="C17" s="3"/>
      <c r="D17" s="20"/>
      <c r="E17" s="5"/>
      <c r="F17" s="5"/>
      <c r="G17" s="5"/>
      <c r="H17" s="5"/>
      <c r="I17" s="6"/>
      <c r="J17" s="5"/>
    </row>
    <row r="18" spans="1:10" x14ac:dyDescent="0.3">
      <c r="A18" s="5"/>
      <c r="B18" s="5"/>
      <c r="C18" s="18">
        <v>2.7</v>
      </c>
      <c r="D18" s="29"/>
      <c r="E18" s="30"/>
      <c r="F18" s="30"/>
      <c r="G18" s="30"/>
      <c r="H18" s="30"/>
      <c r="I18" s="31"/>
      <c r="J18" s="5"/>
    </row>
    <row r="19" spans="1:10" x14ac:dyDescent="0.3">
      <c r="A19" s="5"/>
      <c r="B19" s="5"/>
      <c r="D19" s="15"/>
      <c r="F19" s="5"/>
      <c r="G19" s="5"/>
      <c r="H19" s="5"/>
      <c r="I19" s="6"/>
      <c r="J19" s="5"/>
    </row>
    <row r="20" spans="1:10" x14ac:dyDescent="0.3">
      <c r="A20" s="5"/>
      <c r="B20" s="5"/>
      <c r="C20" s="3"/>
      <c r="D20" s="20"/>
      <c r="E20" s="5"/>
      <c r="F20" s="5"/>
      <c r="G20" s="5"/>
      <c r="H20" s="5"/>
      <c r="I20" s="6"/>
      <c r="J20" s="5"/>
    </row>
    <row r="21" spans="1:10" x14ac:dyDescent="0.3">
      <c r="A21" s="5"/>
      <c r="B21" s="5"/>
      <c r="C21" s="3"/>
      <c r="D21" s="20"/>
      <c r="E21" s="5"/>
      <c r="F21" s="5"/>
      <c r="G21" s="5"/>
      <c r="H21" s="20"/>
      <c r="I21" s="6"/>
      <c r="J21" s="5"/>
    </row>
    <row r="22" spans="1:10" x14ac:dyDescent="0.3">
      <c r="C22" s="3"/>
      <c r="D22" s="20"/>
      <c r="E22" s="5"/>
      <c r="F22" s="5"/>
      <c r="G22" s="5"/>
      <c r="H22" s="5"/>
      <c r="I22" s="6"/>
      <c r="J22" s="5"/>
    </row>
  </sheetData>
  <sheetProtection algorithmName="SHA-512" hashValue="Lda5IyZKqg47vtL09VKWLY6S4+rxTfyCAKC7jqgCYRsa2oPPKzL1jS3WDsW2bYGZ0wh1xpPkxbr3oGmpNECcmA==" saltValue="KU+TMIZ48QDCUSceCVuWMA==" spinCount="100000" sheet="1" objects="1" scenarios="1"/>
  <mergeCells count="1">
    <mergeCell ref="E10:I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Com. 1 Tesla Plus</vt:lpstr>
      <vt:lpstr>Com. 2 Tesla Plus</vt:lpstr>
      <vt:lpstr>Com. 3 Tesla Plus</vt:lpstr>
      <vt:lpstr>Com. 1 Tesla con Micro</vt:lpstr>
      <vt:lpstr>Com. 2 Tesla con Micro </vt:lpstr>
      <vt:lpstr>Com. 3 Tesla con Micro</vt:lpstr>
      <vt:lpstr>Com. 4 Tesla con Micro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Alexander Rosario</dc:creator>
  <cp:lastModifiedBy>Alexander Rosario</cp:lastModifiedBy>
  <cp:lastPrinted>2024-02-03T01:02:26Z</cp:lastPrinted>
  <dcterms:created xsi:type="dcterms:W3CDTF">2024-02-02T00:31:35Z</dcterms:created>
  <dcterms:modified xsi:type="dcterms:W3CDTF">2024-02-06T03:22:17Z</dcterms:modified>
</cp:coreProperties>
</file>